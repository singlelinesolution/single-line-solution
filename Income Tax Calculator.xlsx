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hoonya365-my.sharepoint.com/personal/deepak_khanna_shoonya_com/Documents/Library/Excel/"/>
    </mc:Choice>
  </mc:AlternateContent>
  <xr:revisionPtr revIDLastSave="1604" documentId="8_{B5755717-E701-4CD0-A760-D7FB312D88BE}" xr6:coauthVersionLast="47" xr6:coauthVersionMax="47" xr10:uidLastSave="{3868F83A-89D5-4335-BAA0-FAE20B7144D0}"/>
  <bookViews>
    <workbookView xWindow="-120" yWindow="-120" windowWidth="29040" windowHeight="15720" xr2:uid="{0FB9E3E3-D20A-4892-9328-C7B47DE1E4C2}"/>
  </bookViews>
  <sheets>
    <sheet name="Basic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3" l="1" a="1"/>
  <c r="A5" i="3"/>
  <c r="D34" i="3" a="1"/>
  <c r="D34" i="3"/>
  <c r="D24" i="3" a="1"/>
  <c r="D24" i="3"/>
  <c r="A34" i="3" a="1"/>
  <c r="A34" i="3"/>
  <c r="A24" i="3" a="1"/>
  <c r="A24" i="3"/>
  <c r="C3" i="3"/>
  <c r="E3" i="3"/>
  <c r="D5" i="3" s="1" a="1"/>
  <c r="D5" i="3" s="1"/>
  <c r="B16" i="3" a="1"/>
  <c r="B16" i="3" s="1"/>
  <c r="E16" i="3" l="1" a="1"/>
  <c r="E16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<sst xmlns="http://schemas.openxmlformats.org/spreadsheetml/2006/main" count="22" uniqueCount="16">
  <si>
    <t>Calculations of Income Tax for Individuals under Normal Provisions (Excluding Special Rate Income) for Financial Year  2025-26</t>
  </si>
  <si>
    <t>New Regime</t>
  </si>
  <si>
    <t>Deductions</t>
  </si>
  <si>
    <t>Old Regime</t>
  </si>
  <si>
    <t>Net Taxable Income</t>
  </si>
  <si>
    <t>https://www.incometaxindia.gov.in/income-tax-calculator</t>
  </si>
  <si>
    <t>https://eportal.incometax.gov.in/iec/foservices/#/TaxCalc/calculator</t>
  </si>
  <si>
    <t>https://www.incometax.gov.in/iec/foportal/help/individual/return-applicable-1</t>
  </si>
  <si>
    <t>New Regime - Income Tax Slabs</t>
  </si>
  <si>
    <t>Old Regime - Income Tax Slabs</t>
  </si>
  <si>
    <t>From</t>
  </si>
  <si>
    <t>Upto</t>
  </si>
  <si>
    <t>Tax c/o</t>
  </si>
  <si>
    <t>New Regime - Surcharge Slabs</t>
  </si>
  <si>
    <t>Old Regime - Surcharge Slabs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</si>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</sst>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(* #,##0_);_(* \(#,##0\);_(* &quot;-&quot;??_);_(@_)"/>
  </numFmts>
  <fonts count="10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6"/>
      <color theme="7"/>
      <name val="Calibri"/>
      <family val="2"/>
    </font>
    <font>
      <b/>
      <sz val="16"/>
      <color theme="7"/>
      <name val="Calibri"/>
      <family val="2"/>
    </font>
    <font>
      <b/>
      <sz val="16"/>
      <color theme="0"/>
      <name val="Calibri"/>
      <family val="2"/>
    </font>
    <font>
      <sz val="16"/>
      <color rgb="FFFF0000"/>
      <name val="Calibri"/>
      <family val="2"/>
    </font>
    <font>
      <u/>
      <sz val="11"/>
      <color theme="10"/>
      <name val="Calibri"/>
      <family val="2"/>
    </font>
    <font>
      <sz val="16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/>
      <diagonal/>
    </border>
    <border>
      <left/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/>
      <top/>
      <bottom/>
      <diagonal/>
    </border>
    <border>
      <left/>
      <right style="thin">
        <color rgb="FF0070C0"/>
      </right>
      <top/>
      <bottom/>
      <diagonal/>
    </border>
    <border>
      <left style="thin">
        <color rgb="FF0070C0"/>
      </left>
      <right/>
      <top/>
      <bottom style="thin">
        <color rgb="FF0070C0"/>
      </bottom>
      <diagonal/>
    </border>
    <border>
      <left/>
      <right style="thin">
        <color rgb="FF0070C0"/>
      </right>
      <top/>
      <bottom style="thin">
        <color rgb="FF0070C0"/>
      </bottom>
      <diagonal/>
    </border>
    <border>
      <left/>
      <right/>
      <top style="thin">
        <color rgb="FF0070C0"/>
      </top>
      <bottom/>
      <diagonal/>
    </border>
    <border>
      <left/>
      <right/>
      <top/>
      <bottom style="thin">
        <color rgb="FF0070C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34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4" fillId="3" borderId="1" xfId="0" applyFont="1" applyFill="1" applyBorder="1" applyAlignment="1">
      <alignment vertical="center"/>
    </xf>
    <xf numFmtId="165" fontId="3" fillId="3" borderId="2" xfId="0" applyNumberFormat="1" applyFont="1" applyFill="1" applyBorder="1" applyAlignment="1">
      <alignment vertical="center"/>
    </xf>
    <xf numFmtId="165" fontId="3" fillId="0" borderId="0" xfId="0" applyNumberFormat="1" applyFont="1"/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9" fontId="3" fillId="0" borderId="6" xfId="0" applyNumberFormat="1" applyFont="1" applyBorder="1" applyAlignment="1">
      <alignment horizontal="center"/>
    </xf>
    <xf numFmtId="9" fontId="7" fillId="0" borderId="8" xfId="0" applyNumberFormat="1" applyFont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165" fontId="2" fillId="3" borderId="9" xfId="0" applyNumberFormat="1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10" fontId="2" fillId="3" borderId="4" xfId="0" applyNumberFormat="1" applyFont="1" applyFill="1" applyBorder="1" applyAlignment="1">
      <alignment horizontal="center"/>
    </xf>
    <xf numFmtId="0" fontId="3" fillId="2" borderId="0" xfId="0" applyFont="1" applyFill="1"/>
    <xf numFmtId="0" fontId="5" fillId="3" borderId="7" xfId="0" applyFont="1" applyFill="1" applyBorder="1"/>
    <xf numFmtId="165" fontId="3" fillId="3" borderId="8" xfId="1" applyNumberFormat="1" applyFont="1" applyFill="1" applyBorder="1"/>
    <xf numFmtId="0" fontId="3" fillId="0" borderId="0" xfId="0" applyFont="1" applyAlignment="1">
      <alignment vertical="top"/>
    </xf>
    <xf numFmtId="165" fontId="2" fillId="3" borderId="4" xfId="0" applyNumberFormat="1" applyFont="1" applyFill="1" applyBorder="1" applyAlignment="1">
      <alignment vertical="center"/>
    </xf>
    <xf numFmtId="165" fontId="2" fillId="3" borderId="2" xfId="0" applyNumberFormat="1" applyFont="1" applyFill="1" applyBorder="1" applyAlignment="1">
      <alignment vertical="center"/>
    </xf>
    <xf numFmtId="0" fontId="3" fillId="0" borderId="0" xfId="0" applyFont="1" applyAlignment="1">
      <alignment horizontal="right" vertical="top"/>
    </xf>
    <xf numFmtId="0" fontId="5" fillId="3" borderId="3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/>
    </xf>
    <xf numFmtId="0" fontId="8" fillId="0" borderId="0" xfId="2"/>
    <xf numFmtId="165" fontId="3" fillId="4" borderId="2" xfId="0" applyNumberFormat="1" applyFont="1" applyFill="1" applyBorder="1" applyAlignment="1">
      <alignment vertical="center"/>
    </xf>
    <xf numFmtId="0" fontId="2" fillId="4" borderId="10" xfId="0" applyFont="1" applyFill="1" applyBorder="1" applyAlignment="1">
      <alignment horizontal="center"/>
    </xf>
    <xf numFmtId="9" fontId="3" fillId="0" borderId="0" xfId="0" applyNumberFormat="1" applyFont="1" applyAlignment="1">
      <alignment horizontal="center"/>
    </xf>
    <xf numFmtId="9" fontId="3" fillId="0" borderId="10" xfId="0" applyNumberFormat="1" applyFont="1" applyBorder="1" applyAlignment="1">
      <alignment horizontal="center"/>
    </xf>
    <xf numFmtId="9" fontId="9" fillId="0" borderId="8" xfId="0" applyNumberFormat="1" applyFont="1" applyBorder="1" applyAlignment="1">
      <alignment horizontal="center"/>
    </xf>
    <xf numFmtId="0" fontId="6" fillId="5" borderId="0" xfId="0" applyFont="1" applyFill="1" applyAlignment="1">
      <alignment horizontal="center" wrapText="1"/>
    </xf>
    <xf numFmtId="165" fontId="2" fillId="4" borderId="0" xfId="0" applyNumberFormat="1" applyFont="1" applyFill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cometax.gov.in/iec/foportal/help/individual/return-applicable-1" TargetMode="External"/><Relationship Id="rId2" Type="http://schemas.openxmlformats.org/officeDocument/2006/relationships/hyperlink" Target="https://eportal.incometax.gov.in/iec/foservices/" TargetMode="External"/><Relationship Id="rId1" Type="http://schemas.openxmlformats.org/officeDocument/2006/relationships/hyperlink" Target="https://www.incometaxindia.gov.in/income-tax-calculat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194C1-521D-4312-B037-14F0E39FA959}">
  <dimension ref="A1:F39"/>
  <sheetViews>
    <sheetView tabSelected="1" workbookViewId="0">
      <selection sqref="A1:E1"/>
    </sheetView>
  </sheetViews>
  <sheetFormatPr defaultColWidth="9.42578125" defaultRowHeight="21"/>
  <cols>
    <col min="1" max="1" width="52.42578125" style="1" customWidth="1"/>
    <col min="2" max="2" width="31.5703125" style="5" customWidth="1"/>
    <col min="3" max="3" width="15.140625" style="1" bestFit="1" customWidth="1"/>
    <col min="4" max="4" width="52.7109375" style="1" customWidth="1"/>
    <col min="5" max="5" width="16.85546875" style="1" bestFit="1" customWidth="1"/>
    <col min="6" max="6" width="19" style="1" customWidth="1"/>
    <col min="7" max="16384" width="9.42578125" style="1"/>
  </cols>
  <sheetData>
    <row r="1" spans="1:6" ht="21" customHeight="1">
      <c r="A1" s="32" t="s">
        <v>0</v>
      </c>
      <c r="B1" s="32"/>
      <c r="C1" s="32"/>
      <c r="D1" s="32"/>
      <c r="E1" s="32"/>
    </row>
    <row r="2" spans="1:6" ht="21" customHeight="1">
      <c r="A2" s="33" t="s">
        <v>1</v>
      </c>
      <c r="B2" s="33"/>
      <c r="C2" s="7" t="s">
        <v>2</v>
      </c>
      <c r="D2" s="33" t="s">
        <v>3</v>
      </c>
      <c r="E2" s="33"/>
    </row>
    <row r="3" spans="1:6" ht="21" customHeight="1">
      <c r="A3" s="18" t="s">
        <v>4</v>
      </c>
      <c r="B3" s="19">
        <v>21425000</v>
      </c>
      <c r="C3" s="17">
        <f>25000-150000-25000</f>
        <v>-150000</v>
      </c>
      <c r="D3" s="18" t="s">
        <v>4</v>
      </c>
      <c r="E3" s="19">
        <f>B3+C3</f>
        <v>21275000</v>
      </c>
    </row>
    <row r="4" spans="1:6" ht="21" customHeight="1">
      <c r="B4" s="1"/>
    </row>
    <row r="5" spans="1:6" s="2" customFormat="1" ht="21" customHeight="1">
      <c r="A5" s="24" t="str" cm="1">
        <f t="array" ref="A5:B15">_xlfn.LAMBDA(_xlpm.Income,_xlfn.LET(_xlpm.ITSlab,_xlfn.VSTACK(_xlfn.HSTACK(1,0%,0),
                                 _xlfn.HSTACK(400001,5%,0),
                                 _xlfn.HSTACK(800001,10%,20000),
                                 _xlfn.HSTACK(1200001,15%,60000),
                                 _xlfn.HSTACK(1600001,20%,120000),
                                 _xlfn.HSTACK(2000001,25%,200000),
                                 _xlfn.HSTACK(2400001,30%,300000)
                                ),
                   _xlpm.SurchSlab,_xlfn.VSTACK(_xlfn.HSTACK(1,0%),
                                    _xlfn.HSTACK(5000001,10%),
                                    _xlfn.HSTACK(10000001,15%),
                                    _xlfn.HSTACK(20000001,25%)
                                   ),
                   _xlpm.ExtITSlab,_xlfn.XLOOKUP(_xlpm.Income,_xlfn.CHOOSECOLS(_xlpm.ITSlab,1),_xlfn.CHOOSECOLS(_xlpm.ITSlab,1,2,3),0,-1),
                   _xlpm.ExtSurchSlab,_xlfn.XLOOKUP(_xlpm.Income,_xlfn.CHOOSECOLS(_xlpm.SurchSlab,1),_xlfn.CHOOSECOLS(_xlpm.SurchSlab,1,2),0,-1),
                   _xlpm.IT,ROUND(INDEX(_xlpm.ExtITSlab,1,3)+(_xlpm.Income-(INDEX(_xlpm.ExtITSlab,1,1)-1))*INDEX(_xlpm.ExtITSlab,1,2),2),
                   _xlpm.Rebate,IF(_xlpm.IT&lt;=60000,_xlpm.IT,0),
                   _xlpm.IT_Rebate,_xlpm.IT-_xlpm.Rebate,
                   _xlpm.ReliefIT,MAX(0,MIN(_xlpm.IT_Rebate,_xlpm.IT_Rebate-(_xlpm.Income-1200000))),
                   _xlpm.IT_ReliefIT,_xlpm.IT_Rebate-_xlpm.ReliefIT,
                   _xlpm.Surch,ROUND(_xlpm.IT_ReliefIT*INDEX(_xlpm.ExtSurchSlab,1,2),2),
                   _xlpm.IT_Surch,_xlpm.IT_ReliefIT+_xlpm.Surch,
                   _xlpm.ExtPrevSurchSlab,_xlfn.XLOOKUP(INDEX(_xlpm.ExtSurchSlab,1,1)-1,_xlfn.CHOOSECOLS(_xlpm.SurchSlab,1),_xlfn.CHOOSECOLS(_xlpm.SurchSlab,1,2),0,-1),
                   _xlpm.SurchAtPrevSlab,ROUND(_xlpm.IT_ReliefIT*INDEX(_xlpm.ExtPrevSurchSlab,1,2),2),
                   _xlpm.ReliefSurch,MAX(0,MIN(_xlpm.Surch-_xlpm.SurchAtPrevSlab,(_xlpm.IT_ReliefIT+_xlpm.Surch)-(_xlpm.IT_ReliefIT+_xlpm.SurchAtPrevSlab)-(_xlpm.Income-(INDEX(_xlpm.ExtSurchSlab,1,1)-1)))),
                   _xlpm.IT_ReliefSurch,_xlpm.IT_Surch-_xlpm.ReliefSurch,
                   _xlpm.Cess,ROUND(_xlpm.IT_ReliefSurch*4%,2),
                   _xlpm.TaxPayable,ROUND(_xlpm.IT_ReliefSurch+_xlpm.Cess,0),
                   _xlfn.VSTACK(_xlfn.HSTACK("Net Taxable Income",_xlpm.Income),
                          _xlfn.HSTACK("Income Tax @ "&amp;TEXT(INDEX(_xlpm.ExtITSlab,1,2),"0%"),_xlpm.IT),
                          _xlfn.HSTACK("Rebate under section 87A",_xlpm.Rebate),
                          _xlfn.HSTACK("Income Tax _ Rebate",_xlpm.IT_Rebate),
                          _xlfn.HSTACK("Marginal Relief on IT",_xlpm.ReliefIT),
                          _xlfn.HSTACK("Income Tax _ Marginal Relief on IT",_xlpm.IT_ReliefIT),
                          _xlfn.HSTACK("Surcharge @ "&amp;TEXT(INDEX(_xlpm.ExtSurchSlab,1,2),"0%"),_xlpm.Surch),
                          _xlfn.HSTACK("Marginal Relief on Surch",_xlpm.ReliefSurch),
                          _xlfn.HSTACK("Income Tax _ Marginal Relief on Surcharge",_xlpm.IT_ReliefSurch),
                          _xlfn.HSTACK("Cess @ 4%",_xlpm.Cess),
                          _xlfn.HSTACK("Total Tax Liability",_xlpm.TaxPayable)
                         )
                  )
       )($B$3)</f>
        <v>Net Taxable Income</v>
      </c>
      <c r="B5" s="21">
        <v>21425000</v>
      </c>
      <c r="D5" s="24" t="str" cm="1">
        <f t="array" ref="D5:E15">_xlfn.LAMBDA(_xlpm.Income,_xlfn.LET(_xlpm.ITSlab,_xlfn.VSTACK(_xlfn.HSTACK(1,0%,0),
                                 _xlfn.HSTACK(250001,5%,0),
                                 _xlfn.HSTACK(500001,20%,12500),
                                 _xlfn.HSTACK(1000001,30%,112500)
                                ),
                   _xlpm.SurchSlab,_xlfn.VSTACK(_xlfn.HSTACK(1,0%),
                                    _xlfn.HSTACK(5000001,10%),
                                    _xlfn.HSTACK(10000001,15%),
                                    _xlfn.HSTACK(20000001,25%),
                                    _xlfn.HSTACK(50000001,37%)
                                   ),
                   _xlpm.ExtITSlab,_xlfn.XLOOKUP(_xlpm.Income,_xlfn.CHOOSECOLS(_xlpm.ITSlab,1),_xlfn.CHOOSECOLS(_xlpm.ITSlab,1,2,3),0,-1),
                   _xlpm.ExtSurchSlab,_xlfn.XLOOKUP(_xlpm.Income,_xlfn.CHOOSECOLS(_xlpm.SurchSlab,1),_xlfn.CHOOSECOLS(_xlpm.SurchSlab,1,2),0,-1),
                   _xlpm.IT,ROUND(INDEX(_xlpm.ExtITSlab,1,3)+(_xlpm.Income-(INDEX(_xlpm.ExtITSlab,1,1)-1))*INDEX(_xlpm.ExtITSlab,1,2),2),
                   _xlpm.Rebate,0,
                   _xlpm.IT_Rebate,_xlpm.IT-_xlpm.Rebate,
                   _xlpm.ReliefIT,MAX(0,MIN(_xlpm.IT_Rebate,_xlpm.IT_Rebate-(_xlpm.Income-1200000))),
                   _xlpm.IT_ReliefIT,_xlpm.IT_Rebate-_xlpm.ReliefIT,
                   _xlpm.Surch,ROUND(_xlpm.IT_ReliefIT*INDEX(_xlpm.ExtSurchSlab,1,2),2),
                   _xlpm.IT_Surch,_xlpm.IT_ReliefIT+_xlpm.Surch,
                   _xlpm.ExtPrevSurchSlab,_xlfn.XLOOKUP(INDEX(_xlpm.ExtSurchSlab,1,1)-1,_xlfn.CHOOSECOLS(_xlpm.SurchSlab,1),_xlfn.CHOOSECOLS(_xlpm.SurchSlab,1,2),0,-1),
                   _xlpm.SurchAtPrevSlab,ROUND(_xlpm.IT_ReliefIT*INDEX(_xlpm.ExtPrevSurchSlab,1,2),2),
                   _xlpm.ReliefSurch,MAX(0,MIN(_xlpm.Surch-_xlpm.SurchAtPrevSlab,(_xlpm.IT_ReliefIT+_xlpm.Surch)-(_xlpm.IT_ReliefIT+_xlpm.SurchAtPrevSlab)-(_xlpm.Income-(INDEX(_xlpm.ExtSurchSlab,1,1)-1)))),
                   _xlpm.IT_ReliefSurch,_xlpm.IT_Surch-_xlpm.ReliefSurch,
                   _xlpm.Cess,ROUND(_xlpm.IT_ReliefSurch*4%,2),
                   _xlpm.TaxPayable,ROUND(_xlpm.IT_ReliefSurch+_xlpm.Cess,0),
                   _xlfn.VSTACK(_xlfn.HSTACK("Net Taxable Income",_xlpm.Income),
                          _xlfn.HSTACK("Income Tax @ "&amp;TEXT(INDEX(_xlpm.ExtITSlab,1,2),"0%"),_xlpm.IT),
                          _xlfn.HSTACK("Rebate under section 87A",_xlpm.Rebate),
                          _xlfn.HSTACK("Income Tax _ Rebate",_xlpm.IT_Rebate),
                          _xlfn.HSTACK("Marginal Relief on IT",_xlpm.ReliefIT),
                          _xlfn.HSTACK("Income Tax _ Marginal Relief on IT",_xlpm.IT_ReliefIT),
                          _xlfn.HSTACK("Surcharge @ "&amp;TEXT(INDEX(_xlpm.ExtSurchSlab,1,2),"0%"),_xlpm.Surch),
                          _xlfn.HSTACK("Marginal Relief on Surch",_xlpm.ReliefSurch),
                          _xlfn.HSTACK("Income Tax _ Marginal Relief on Surcharge",_xlpm.IT_ReliefSurch),
                          _xlfn.HSTACK("Cess @ 4%",_xlpm.Cess),
                          _xlfn.HSTACK("Total Tax Liability",_xlpm.TaxPayable)
                         )
                  )
       )($E$3)</f>
        <v>Net Taxable Income</v>
      </c>
      <c r="E5" s="21">
        <v>21275000</v>
      </c>
    </row>
    <row r="6" spans="1:6" s="2" customFormat="1" ht="21" customHeight="1">
      <c r="A6" s="25" t="str">
        <v>Income Tax @ 30%</v>
      </c>
      <c r="B6" s="22">
        <v>6007500</v>
      </c>
      <c r="D6" s="25" t="str">
        <v>Income Tax @ 30%</v>
      </c>
      <c r="E6" s="22">
        <v>6195000</v>
      </c>
    </row>
    <row r="7" spans="1:6" s="2" customFormat="1" ht="21" customHeight="1">
      <c r="A7" s="3" t="str">
        <v>Rebate under section 87A</v>
      </c>
      <c r="B7" s="4">
        <v>0</v>
      </c>
      <c r="D7" s="3" t="str">
        <v>Rebate under section 87A</v>
      </c>
      <c r="E7" s="4">
        <v>0</v>
      </c>
    </row>
    <row r="8" spans="1:6" s="2" customFormat="1" ht="21" customHeight="1">
      <c r="A8" s="25" t="str">
        <v>Income Tax _ Rebate</v>
      </c>
      <c r="B8" s="22">
        <v>6007500</v>
      </c>
      <c r="D8" s="25" t="str">
        <v>Income Tax _ Rebate</v>
      </c>
      <c r="E8" s="22">
        <v>6195000</v>
      </c>
    </row>
    <row r="9" spans="1:6" s="2" customFormat="1" ht="21" customHeight="1">
      <c r="A9" s="3" t="str">
        <v>Marginal Relief on IT</v>
      </c>
      <c r="B9" s="4">
        <v>0</v>
      </c>
      <c r="D9" s="3" t="str">
        <v>Marginal Relief on IT</v>
      </c>
      <c r="E9" s="27">
        <v>0</v>
      </c>
    </row>
    <row r="10" spans="1:6" s="2" customFormat="1" ht="21" customHeight="1">
      <c r="A10" s="25" t="str">
        <v>Income Tax _ Marginal Relief on IT</v>
      </c>
      <c r="B10" s="22">
        <v>6007500</v>
      </c>
      <c r="D10" s="25" t="str">
        <v>Income Tax _ Marginal Relief on IT</v>
      </c>
      <c r="E10" s="22">
        <v>6195000</v>
      </c>
    </row>
    <row r="11" spans="1:6" s="2" customFormat="1" ht="21" customHeight="1">
      <c r="A11" s="3" t="str">
        <v>Surcharge @ 25%</v>
      </c>
      <c r="B11" s="4">
        <v>1501875</v>
      </c>
      <c r="D11" s="3" t="str">
        <v>Surcharge @ 25%</v>
      </c>
      <c r="E11" s="4">
        <v>1548750</v>
      </c>
    </row>
    <row r="12" spans="1:6" s="2" customFormat="1" ht="21" customHeight="1">
      <c r="A12" s="3" t="str">
        <v>Marginal Relief on Surch</v>
      </c>
      <c r="B12" s="4">
        <v>0</v>
      </c>
      <c r="D12" s="3" t="str">
        <v>Marginal Relief on Surch</v>
      </c>
      <c r="E12" s="4">
        <v>0</v>
      </c>
    </row>
    <row r="13" spans="1:6" ht="21" customHeight="1">
      <c r="A13" s="25" t="str">
        <v>Income Tax _ Marginal Relief on Surcharge</v>
      </c>
      <c r="B13" s="22">
        <v>7509375</v>
      </c>
      <c r="C13" s="2"/>
      <c r="D13" s="25" t="str">
        <v>Income Tax _ Marginal Relief on Surcharge</v>
      </c>
      <c r="E13" s="22">
        <v>7743750</v>
      </c>
      <c r="F13" s="2"/>
    </row>
    <row r="14" spans="1:6" ht="21" customHeight="1">
      <c r="A14" s="3" t="str">
        <v>Cess @ 4%</v>
      </c>
      <c r="B14" s="4">
        <v>300375</v>
      </c>
      <c r="C14" s="2"/>
      <c r="D14" s="3" t="str">
        <v>Cess @ 4%</v>
      </c>
      <c r="E14" s="4">
        <v>309750</v>
      </c>
      <c r="F14" s="2"/>
    </row>
    <row r="15" spans="1:6" ht="21" customHeight="1">
      <c r="A15" s="25" t="str">
        <v>Total Tax Liability</v>
      </c>
      <c r="B15" s="22">
        <v>7809750</v>
      </c>
      <c r="C15" s="2"/>
      <c r="D15" s="25" t="str">
        <v>Total Tax Liability</v>
      </c>
      <c r="E15" s="22">
        <v>8053500</v>
      </c>
      <c r="F15" s="2"/>
    </row>
    <row r="16" spans="1:6" ht="21" customHeight="1">
      <c r="B16" s="23" t="str" cm="1">
        <f t="array" ref="B16">_xlfn.LAMBDA(_xlpm.Figure,_xlfn.TEXTJOIN(" ",TRUE,_xlfn.TOROW(_xlfn.MAKEARRAY(8,3,_xlfn.LAMBDA(_xlpm.r,_xlpm.c,_xlfn.LET(_xlpm.TFigure,TEXT(_xlpm.Figure,"000000000000000"),_xlpm.LeftDigit,IF(_xlpm.r=7,0,MID(_xlpm.TFigure,(_xlpm.r-1)*2+IF(_xlpm.r&lt;8,1,0),1)),_xlpm.RightDigit,MID(_xlpm.TFigure,(_xlpm.r-1)*2+_xlfn.SWITCH(_xlpm.r,7,1,8,1,2),1),CHOOSE(_xlpm.c,_xlfn.SWITCH(VALUE(_xlpm.LeftDigit),0,"",1,"",2,"Twenty",3,"Thirty",4,"Forty",5,"Fifty",6,"Sixty",7,"Seventy",8,"Eighty",9,"Ninety"),_xlfn.SWITCH(VALUE(IF(VALUE(_xlpm.LeftDigit)=1,_xlpm.LeftDigit,"")&amp;_xlpm.RightDigit),0,"",1,"One",2,"Two",3,"Three",4,"Four",5,"Five",6,"Six",7,"Seven",8,"Eight",9,"Nine",10,"Ten",11,"Eleven",12,"Twelve",13,"Thirteen",14,"Fourten",15,"Fifteen",16,"Sixteen",17,"Seventeen",18,"Eighteen",19,"Nineteen"),IF(VALUE(_xlpm.LeftDigit&amp;_xlpm.RightDigit)&gt;0,_xlfn.SWITCH(_xlpm.r,1,"Neel",2,"Kharab",3,"Arab",4,"Crore",5,"Lakh",6,"Thousand",7,"Hundred",8,""),""))))))))($B$15)</f>
        <v>Seventy Eight Lakh Nine Thousand Seven Hundred Fifty</v>
      </c>
      <c r="E16" s="23" t="str" cm="1">
        <f t="array" ref="E16">_xlfn.LAMBDA(_xlpm.Figure,_xlfn.TEXTJOIN(" ",TRUE,_xlfn.TOROW(_xlfn.MAKEARRAY(8,3,_xlfn.LAMBDA(_xlpm.r,_xlpm.c,_xlfn.LET(_xlpm.TFigure,TEXT(_xlpm.Figure,"000000000000000"),_xlpm.LeftDigit,IF(_xlpm.r=7,0,MID(_xlpm.TFigure,(_xlpm.r-1)*2+IF(_xlpm.r&lt;8,1,0),1)),_xlpm.RightDigit,MID(_xlpm.TFigure,(_xlpm.r-1)*2+_xlfn.SWITCH(_xlpm.r,7,1,8,1,2),1),CHOOSE(_xlpm.c,_xlfn.SWITCH(VALUE(_xlpm.LeftDigit),0,"",1,"",2,"Twenty",3,"Thirty",4,"Forty",5,"Fifty",6,"Sixty",7,"Seventy",8,"Eighty",9,"Ninety"),_xlfn.SWITCH(VALUE(IF(VALUE(_xlpm.LeftDigit)=1,_xlpm.LeftDigit,"")&amp;_xlpm.RightDigit),0,"",1,"One",2,"Two",3,"Three",4,"Four",5,"Five",6,"Six",7,"Seven",8,"Eight",9,"Nine",10,"Ten",11,"Eleven",12,"Twelve",13,"Thirteen",14,"Fourten",15,"Fifteen",16,"Sixteen",17,"Seventeen",18,"Eighteen",19,"Nineteen"),IF(VALUE(_xlpm.LeftDigit&amp;_xlpm.RightDigit)&gt;0,_xlfn.SWITCH(_xlpm.r,1,"Neel",2,"Kharab",3,"Arab",4,"Crore",5,"Lakh",6,"Thousand",7,"Hundred",8,""),""))))))))($E$15)</f>
        <v>Eighty Lakh Fifty Three Thousand Five Hundred</v>
      </c>
    </row>
    <row r="17" spans="1:6" ht="21" customHeight="1">
      <c r="A17" s="20"/>
      <c r="D17" s="20"/>
    </row>
    <row r="18" spans="1:6" ht="21" customHeight="1">
      <c r="A18" s="26" t="s">
        <v>5</v>
      </c>
    </row>
    <row r="19" spans="1:6" ht="21" customHeight="1">
      <c r="A19" s="26" t="s">
        <v>6</v>
      </c>
    </row>
    <row r="20" spans="1:6">
      <c r="A20" s="26" t="s">
        <v>7</v>
      </c>
    </row>
    <row r="22" spans="1:6">
      <c r="A22" s="28" t="s">
        <v>8</v>
      </c>
      <c r="B22" s="28"/>
      <c r="C22" s="28"/>
      <c r="D22" s="28" t="s">
        <v>9</v>
      </c>
      <c r="E22" s="28"/>
    </row>
    <row r="23" spans="1:6">
      <c r="A23" s="13" t="s">
        <v>10</v>
      </c>
      <c r="B23" s="14" t="s">
        <v>11</v>
      </c>
      <c r="C23" s="15" t="s">
        <v>12</v>
      </c>
      <c r="D23" s="13" t="s">
        <v>10</v>
      </c>
      <c r="E23" s="14" t="s">
        <v>11</v>
      </c>
      <c r="F23" s="15"/>
    </row>
    <row r="24" spans="1:6">
      <c r="A24" s="6" cm="1">
        <f t="array" ref="A24:C30">_xlfn.VSTACK(_xlfn.HSTACK(1,0%,0),
        _xlfn.HSTACK(400001,5%,0),
        _xlfn.HSTACK(800001,10%,20000),
        _xlfn.HSTACK(1200001,15%,60000),
        _xlfn.HSTACK(1600001,20%,120000),
        _xlfn.HSTACK(2000001,25%,200000),
        _xlfn.HSTACK(2400001,30%,300000)
       )</f>
        <v>1</v>
      </c>
      <c r="B24" s="29">
        <v>0</v>
      </c>
      <c r="C24" s="8">
        <v>0</v>
      </c>
      <c r="D24" s="6" cm="1">
        <f t="array" ref="D24:F27">_xlfn.VSTACK(_xlfn.HSTACK(1,0%,0),
        _xlfn.HSTACK(250001,5%,0),
        _xlfn.HSTACK(500001,20%,12500),
        _xlfn.HSTACK(1000001,30%,112500)
       )</f>
        <v>1</v>
      </c>
      <c r="E24" s="29">
        <v>0</v>
      </c>
      <c r="F24" s="8">
        <v>0</v>
      </c>
    </row>
    <row r="25" spans="1:6">
      <c r="A25" s="6">
        <v>400001</v>
      </c>
      <c r="B25" s="29">
        <v>0.05</v>
      </c>
      <c r="C25" s="8">
        <v>0</v>
      </c>
      <c r="D25" s="6">
        <v>250001</v>
      </c>
      <c r="E25" s="29">
        <v>0.05</v>
      </c>
      <c r="F25" s="8">
        <v>0</v>
      </c>
    </row>
    <row r="26" spans="1:6">
      <c r="A26" s="6">
        <v>800001</v>
      </c>
      <c r="B26" s="29">
        <v>0.1</v>
      </c>
      <c r="C26" s="8">
        <v>20000</v>
      </c>
      <c r="D26" s="6">
        <v>500001</v>
      </c>
      <c r="E26" s="29">
        <v>0.2</v>
      </c>
      <c r="F26" s="8">
        <v>12500</v>
      </c>
    </row>
    <row r="27" spans="1:6">
      <c r="A27" s="6">
        <v>1200001</v>
      </c>
      <c r="B27" s="29">
        <v>0.15</v>
      </c>
      <c r="C27" s="8">
        <v>60000</v>
      </c>
      <c r="D27" s="9">
        <v>1000001</v>
      </c>
      <c r="E27" s="30">
        <v>0.3</v>
      </c>
      <c r="F27" s="10">
        <v>112500</v>
      </c>
    </row>
    <row r="28" spans="1:6">
      <c r="A28" s="6">
        <v>1600001</v>
      </c>
      <c r="B28" s="29">
        <v>0.2</v>
      </c>
      <c r="C28" s="8">
        <v>120000</v>
      </c>
      <c r="D28" s="7"/>
      <c r="E28" s="7"/>
    </row>
    <row r="29" spans="1:6">
      <c r="A29" s="6">
        <v>2000001</v>
      </c>
      <c r="B29" s="29">
        <v>0.25</v>
      </c>
      <c r="C29" s="8">
        <v>200000</v>
      </c>
      <c r="D29" s="7"/>
      <c r="E29" s="7"/>
    </row>
    <row r="30" spans="1:6">
      <c r="A30" s="9">
        <v>2400001</v>
      </c>
      <c r="B30" s="30">
        <v>0.3</v>
      </c>
      <c r="C30" s="10">
        <v>300000</v>
      </c>
      <c r="D30" s="7"/>
      <c r="E30" s="7"/>
    </row>
    <row r="32" spans="1:6">
      <c r="A32" s="28" t="s">
        <v>13</v>
      </c>
      <c r="B32" s="28"/>
      <c r="D32" s="28" t="s">
        <v>14</v>
      </c>
      <c r="E32" s="28"/>
    </row>
    <row r="33" spans="1:5">
      <c r="A33" s="13" t="s">
        <v>10</v>
      </c>
      <c r="B33" s="16" t="s">
        <v>15</v>
      </c>
      <c r="D33" s="13" t="s">
        <v>10</v>
      </c>
      <c r="E33" s="16" t="s">
        <v>15</v>
      </c>
    </row>
    <row r="34" spans="1:5">
      <c r="A34" s="6" cm="1">
        <f t="array" ref="A34:B37">_xlfn.VSTACK(_xlfn.HSTACK(1,0%),
        _xlfn.HSTACK(5000001,10%),
        _xlfn.HSTACK(10000001,15%),
        _xlfn.HSTACK(20000001,25%)
       )</f>
        <v>1</v>
      </c>
      <c r="B34" s="11">
        <v>0</v>
      </c>
      <c r="D34" s="6" cm="1">
        <f t="array" ref="D34:E38">_xlfn.VSTACK(_xlfn.HSTACK(1,0%),
        _xlfn.HSTACK(5000001,10%),
        _xlfn.HSTACK(10000001,15%),
        _xlfn.HSTACK(20000001,25%),
        _xlfn.HSTACK(50000001,37%)
       )</f>
        <v>1</v>
      </c>
      <c r="E34" s="11">
        <v>0</v>
      </c>
    </row>
    <row r="35" spans="1:5">
      <c r="A35" s="6">
        <v>5000001</v>
      </c>
      <c r="B35" s="11">
        <v>0.1</v>
      </c>
      <c r="D35" s="6">
        <v>5000001</v>
      </c>
      <c r="E35" s="11">
        <v>0.1</v>
      </c>
    </row>
    <row r="36" spans="1:5">
      <c r="A36" s="6">
        <v>10000001</v>
      </c>
      <c r="B36" s="11">
        <v>0.15</v>
      </c>
      <c r="D36" s="6">
        <v>10000001</v>
      </c>
      <c r="E36" s="11">
        <v>0.15</v>
      </c>
    </row>
    <row r="37" spans="1:5">
      <c r="A37" s="9">
        <v>20000001</v>
      </c>
      <c r="B37" s="31">
        <v>0.25</v>
      </c>
      <c r="D37" s="6">
        <v>20000001</v>
      </c>
      <c r="E37" s="11">
        <v>0.25</v>
      </c>
    </row>
    <row r="38" spans="1:5">
      <c r="B38" s="1"/>
      <c r="D38" s="9">
        <v>50000001</v>
      </c>
      <c r="E38" s="12">
        <v>0.37</v>
      </c>
    </row>
    <row r="39" spans="1:5">
      <c r="E39" s="5"/>
    </row>
  </sheetData>
  <mergeCells count="3">
    <mergeCell ref="A1:E1"/>
    <mergeCell ref="A2:B2"/>
    <mergeCell ref="D2:E2"/>
  </mergeCells>
  <hyperlinks>
    <hyperlink ref="A18" r:id="rId1" xr:uid="{B26EEDF9-9D60-44E9-927C-E0BEDAB95A8B}"/>
    <hyperlink ref="A19" r:id="rId2" location="/TaxCalc/calculator" xr:uid="{C0F960C3-1798-45BC-B17D-70C78804AF75}"/>
    <hyperlink ref="A20" r:id="rId3" xr:uid="{B6F00AB7-F511-4349-91E0-70D65AEB92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Deepak Khanna</dc:creator>
  <cp:keywords/>
  <dc:description/>
  <cp:lastModifiedBy>Deepak Khanna</cp:lastModifiedBy>
  <cp:revision/>
  <dcterms:created xsi:type="dcterms:W3CDTF">2026-01-22T12:32:26Z</dcterms:created>
  <dcterms:modified xsi:type="dcterms:W3CDTF">2026-05-20T11:10:10Z</dcterms:modified>
  <cp:category/>
  <cp:contentStatus/>
</cp:coreProperties>
</file>