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hoonya365-my.sharepoint.com/personal/deepak_khanna_shoonya_com/Documents/Library/Excel/"/>
    </mc:Choice>
  </mc:AlternateContent>
  <xr:revisionPtr revIDLastSave="1191" documentId="13_ncr:1_{1934232F-C5CE-4032-BB7E-76E81FE92567}" xr6:coauthVersionLast="47" xr6:coauthVersionMax="47" xr10:uidLastSave="{7C13CFCF-432A-40E7-B289-5334488D2AE3}"/>
  <bookViews>
    <workbookView xWindow="-120" yWindow="-120" windowWidth="29040" windowHeight="15720" xr2:uid="{00000000-000D-0000-FFFF-FFFF00000000}"/>
  </bookViews>
  <sheets>
    <sheet name="Sheet3" sheetId="3" r:id="rId1"/>
  </sheets>
  <definedNames>
    <definedName name="LoanAmortization">_xlfn.LAMBDA(_xlpm.pv,_xlpm.nper,_xlpm.rate,_xlfn.LET(_xlpm.Header,_xlfn.HSTACK("Period","Opening","Principal","Interest","EMI","Closing"),_xlpm.Chart,_xlfn.MAKEARRAY(_xlpm.nper,6,_xlfn.LAMBDA(_xlpm.r,_xlpm.c,_xlfn.LET(_xlpm.per,_xlpm.r,_xlpm.Opening,_xlpm.pv+IFERROR(CUMPRINC(_xlpm.rate/12,_xlpm.nper,_xlpm.pv,1,_xlpm.per-1,0),0),_xlpm.Principal,-PPMT(_xlpm.rate/12,_xlpm.per,_xlpm.nper,_xlpm.pv),_xlpm.Interest,-IPMT(_xlpm.rate/12,_xlpm.per,_xlpm.nper,_xlpm.pv),_xlpm.EMI,-PMT(_xlpm.rate/12,_xlpm.nper,_xlpm.pv),_xlpm.Closing,_xlpm.pv+IFERROR(CUMPRINC(_xlpm.rate/12,_xlpm.nper,_xlpm.pv,1,_xlpm.per,0),0),CHOOSE(_xlpm.c,_xlpm.per,_xlpm.Opening,_xlpm.Principal,_xlpm.Interest,_xlpm.EMI,_xlpm.Closing)))),_xlpm.Total,_xlfn.HSTACK("Total","",_xlfn.BYCOL(_xlfn.CHOOSECOLS(_xlpm.Chart,3,4,5),_xleta.SUM),""),_xlfn.VSTACK(_xlpm.Header,_xlpm.Chart,_xlpm.Total)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3" l="1" a="1"/>
  <c r="A5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<sst xmlns="http://schemas.openxmlformats.org/spreadsheetml/2006/main" count="6" uniqueCount="6">
  <si>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Loan</t>
  </si>
  <si>
    <t>pv</t>
  </si>
  <si>
    <t>Months</t>
  </si>
  <si>
    <t>nper</t>
  </si>
  <si>
    <t>Interest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</si>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</sst>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0" fontId="2" fillId="0" borderId="0" xfId="1" applyNumberFormat="1" applyFont="1" applyAlignment="1">
      <alignment horizontal="center"/>
    </xf>
    <xf numFmtId="1" fontId="2" fillId="2" borderId="0" xfId="0" applyNumberFormat="1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10" fontId="3" fillId="0" borderId="0" xfId="1" applyNumberFormat="1" applyFont="1" applyAlignment="1">
      <alignment horizontal="center"/>
    </xf>
    <xf numFmtId="1" fontId="2" fillId="2" borderId="0" xfId="0" applyNumberFormat="1" applyFont="1" applyFill="1" applyAlignment="1">
      <alignment horizontal="center" wrapText="1"/>
    </xf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2">
    <dxf>
      <font>
        <b/>
        <i val="0"/>
      </font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border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4763-878E-451A-9CBA-DADB4D13FDB5}">
  <dimension ref="A1:F30"/>
  <sheetViews>
    <sheetView showGridLines="0" tabSelected="1" workbookViewId="0">
      <selection activeCell="A5" sqref="A5"/>
    </sheetView>
  </sheetViews>
  <sheetFormatPr defaultRowHeight="18.75"/>
  <cols>
    <col min="1" max="2" width="10" style="10" bestFit="1" customWidth="1"/>
    <col min="3" max="3" width="10.140625" style="10" bestFit="1" customWidth="1"/>
    <col min="4" max="4" width="9.28515625" style="10" bestFit="1" customWidth="1"/>
    <col min="5" max="5" width="9.7109375" style="10" bestFit="1" customWidth="1"/>
    <col min="6" max="6" width="8.5703125" style="10" bestFit="1" customWidth="1"/>
    <col min="7" max="14" width="9.140625" style="10" customWidth="1"/>
    <col min="15" max="16384" width="9.140625" style="10"/>
  </cols>
  <sheetData>
    <row r="1" spans="1:6" ht="18.75" customHeight="1">
      <c r="A1" s="7" t="s">
        <v>0</v>
      </c>
      <c r="B1" s="5">
        <v>100000</v>
      </c>
      <c r="C1" s="1" t="s">
        <v>1</v>
      </c>
      <c r="D1" s="8"/>
      <c r="E1" s="9"/>
      <c r="F1" s="9"/>
    </row>
    <row r="2" spans="1:6" ht="18.75" customHeight="1">
      <c r="A2" s="4" t="s">
        <v>2</v>
      </c>
      <c r="B2" s="5">
        <v>15</v>
      </c>
      <c r="C2" s="1" t="s">
        <v>3</v>
      </c>
      <c r="D2" s="1"/>
      <c r="E2" s="1"/>
      <c r="F2" s="2"/>
    </row>
    <row r="3" spans="1:6" ht="18.75" customHeight="1">
      <c r="A3" s="4" t="s">
        <v>4</v>
      </c>
      <c r="B3" s="6">
        <v>0.1</v>
      </c>
      <c r="C3" s="1" t="s">
        <v>5</v>
      </c>
      <c r="D3" s="1"/>
      <c r="E3" s="1"/>
      <c r="F3" s="2"/>
    </row>
    <row r="4" spans="1:6" ht="18.75" customHeight="1">
      <c r="A4" s="1"/>
      <c r="B4" s="3"/>
      <c r="C4" s="1"/>
      <c r="D4" s="1"/>
      <c r="E4" s="1"/>
      <c r="F4" s="2"/>
    </row>
    <row r="5" spans="1:6" ht="18.75" customHeight="1">
      <c r="A5" s="12" t="str" cm="1">
        <f t="array" ref="A5:F21">LoanAmortization(B1,B2,B3)</f>
        <v>Period</v>
      </c>
      <c r="B5" s="11" t="str">
        <v>Opening</v>
      </c>
      <c r="C5" s="11" t="str">
        <v>Principal</v>
      </c>
      <c r="D5" s="11" t="str">
        <v>Interest</v>
      </c>
      <c r="E5" s="11" t="str">
        <v>EMI</v>
      </c>
      <c r="F5" s="11" t="str">
        <v>Closing</v>
      </c>
    </row>
    <row r="6" spans="1:6" ht="18.75" customHeight="1">
      <c r="A6" s="1">
        <v>1</v>
      </c>
      <c r="B6" s="1">
        <v>100000</v>
      </c>
      <c r="C6" s="1">
        <v>6286.3817119505529</v>
      </c>
      <c r="D6" s="1">
        <v>833.33333333333337</v>
      </c>
      <c r="E6" s="1">
        <v>7119.715045283886</v>
      </c>
      <c r="F6" s="1">
        <v>93713.618288049445</v>
      </c>
    </row>
    <row r="7" spans="1:6" ht="18.75" customHeight="1">
      <c r="A7" s="1">
        <v>2</v>
      </c>
      <c r="B7" s="1">
        <v>93713.618288049445</v>
      </c>
      <c r="C7" s="1">
        <v>6338.7682262168073</v>
      </c>
      <c r="D7" s="1">
        <v>780.94681906707854</v>
      </c>
      <c r="E7" s="1">
        <v>7119.715045283886</v>
      </c>
      <c r="F7" s="1">
        <v>87374.850061832636</v>
      </c>
    </row>
    <row r="8" spans="1:6" ht="18.75" customHeight="1">
      <c r="A8" s="1">
        <v>3</v>
      </c>
      <c r="B8" s="1">
        <v>87374.850061832636</v>
      </c>
      <c r="C8" s="1">
        <v>6391.5912947686138</v>
      </c>
      <c r="D8" s="1">
        <v>728.12375051527192</v>
      </c>
      <c r="E8" s="1">
        <v>7119.715045283886</v>
      </c>
      <c r="F8" s="1">
        <v>80983.258767064021</v>
      </c>
    </row>
    <row r="9" spans="1:6" ht="18.75" customHeight="1">
      <c r="A9" s="1">
        <v>4</v>
      </c>
      <c r="B9" s="1">
        <v>80983.258767064021</v>
      </c>
      <c r="C9" s="1">
        <v>6444.8545555583523</v>
      </c>
      <c r="D9" s="1">
        <v>674.86048972553351</v>
      </c>
      <c r="E9" s="1">
        <v>7119.715045283886</v>
      </c>
      <c r="F9" s="1">
        <v>74538.40421150568</v>
      </c>
    </row>
    <row r="10" spans="1:6" ht="18.75" customHeight="1">
      <c r="A10" s="1">
        <v>5</v>
      </c>
      <c r="B10" s="1">
        <v>74538.40421150568</v>
      </c>
      <c r="C10" s="1">
        <v>6498.5616768546724</v>
      </c>
      <c r="D10" s="1">
        <v>621.15336842921386</v>
      </c>
      <c r="E10" s="1">
        <v>7119.715045283886</v>
      </c>
      <c r="F10" s="1">
        <v>68039.842534651005</v>
      </c>
    </row>
    <row r="11" spans="1:6" ht="18.75" customHeight="1">
      <c r="A11" s="1">
        <v>6</v>
      </c>
      <c r="B11" s="1">
        <v>68039.842534651005</v>
      </c>
      <c r="C11" s="1">
        <v>6552.7163574951273</v>
      </c>
      <c r="D11" s="1">
        <v>566.99868778875839</v>
      </c>
      <c r="E11" s="1">
        <v>7119.715045283886</v>
      </c>
      <c r="F11" s="1">
        <v>61487.126177155878</v>
      </c>
    </row>
    <row r="12" spans="1:6" ht="18.75" customHeight="1">
      <c r="A12" s="1">
        <v>7</v>
      </c>
      <c r="B12" s="1">
        <v>61487.126177155878</v>
      </c>
      <c r="C12" s="1">
        <v>6607.3223271409206</v>
      </c>
      <c r="D12" s="1">
        <v>512.39271814296558</v>
      </c>
      <c r="E12" s="1">
        <v>7119.715045283886</v>
      </c>
      <c r="F12" s="1">
        <v>54879.803850014963</v>
      </c>
    </row>
    <row r="13" spans="1:6" ht="18.75" customHeight="1">
      <c r="A13" s="1">
        <v>8</v>
      </c>
      <c r="B13" s="1">
        <v>54879.803850014963</v>
      </c>
      <c r="C13" s="1">
        <v>6662.3833465337602</v>
      </c>
      <c r="D13" s="1">
        <v>457.33169875012453</v>
      </c>
      <c r="E13" s="1">
        <v>7119.715045283886</v>
      </c>
      <c r="F13" s="1">
        <v>48217.420503481204</v>
      </c>
    </row>
    <row r="14" spans="1:6" ht="18.75" customHeight="1">
      <c r="A14" s="1">
        <v>9</v>
      </c>
      <c r="B14" s="1">
        <v>48217.420503481204</v>
      </c>
      <c r="C14" s="1">
        <v>6717.9032077548763</v>
      </c>
      <c r="D14" s="1">
        <v>401.81183752900984</v>
      </c>
      <c r="E14" s="1">
        <v>7119.715045283886</v>
      </c>
      <c r="F14" s="1">
        <v>41499.517295726328</v>
      </c>
    </row>
    <row r="15" spans="1:6" ht="18.75" customHeight="1">
      <c r="A15" s="1">
        <v>10</v>
      </c>
      <c r="B15" s="1">
        <v>41499.517295726328</v>
      </c>
      <c r="C15" s="1">
        <v>6773.8857344861663</v>
      </c>
      <c r="D15" s="1">
        <v>345.82931079771919</v>
      </c>
      <c r="E15" s="1">
        <v>7119.715045283886</v>
      </c>
      <c r="F15" s="1">
        <v>34725.631561240145</v>
      </c>
    </row>
    <row r="16" spans="1:6" ht="18.75" customHeight="1">
      <c r="A16" s="1">
        <v>11</v>
      </c>
      <c r="B16" s="1">
        <v>34725.631561240145</v>
      </c>
      <c r="C16" s="1">
        <v>6830.3347822735514</v>
      </c>
      <c r="D16" s="1">
        <v>289.38026301033455</v>
      </c>
      <c r="E16" s="1">
        <v>7119.715045283886</v>
      </c>
      <c r="F16" s="1">
        <v>27895.296778966615</v>
      </c>
    </row>
    <row r="17" spans="1:6" ht="18.75" customHeight="1">
      <c r="A17" s="1">
        <v>12</v>
      </c>
      <c r="B17" s="1">
        <v>27895.296778966615</v>
      </c>
      <c r="C17" s="1">
        <v>6887.2542387924968</v>
      </c>
      <c r="D17" s="1">
        <v>232.46080649138827</v>
      </c>
      <c r="E17" s="1">
        <v>7119.715045283886</v>
      </c>
      <c r="F17" s="1">
        <v>21008.042540174094</v>
      </c>
    </row>
    <row r="18" spans="1:6" ht="18.75" customHeight="1">
      <c r="A18" s="1">
        <v>13</v>
      </c>
      <c r="B18" s="1">
        <v>21008.042540174094</v>
      </c>
      <c r="C18" s="1">
        <v>6944.6480241157687</v>
      </c>
      <c r="D18" s="1">
        <v>175.06702116811744</v>
      </c>
      <c r="E18" s="1">
        <v>7119.715045283886</v>
      </c>
      <c r="F18" s="1">
        <v>14063.394516058339</v>
      </c>
    </row>
    <row r="19" spans="1:6" ht="18.75" customHeight="1">
      <c r="A19" s="1">
        <v>14</v>
      </c>
      <c r="B19" s="1">
        <v>14063.394516058339</v>
      </c>
      <c r="C19" s="1">
        <v>7002.5200909834002</v>
      </c>
      <c r="D19" s="1">
        <v>117.19495430048606</v>
      </c>
      <c r="E19" s="1">
        <v>7119.715045283886</v>
      </c>
      <c r="F19" s="1">
        <v>7060.8744250749442</v>
      </c>
    </row>
    <row r="20" spans="1:6" ht="18.75" customHeight="1">
      <c r="A20" s="1">
        <v>15</v>
      </c>
      <c r="B20" s="1">
        <v>7060.8744250749442</v>
      </c>
      <c r="C20" s="1">
        <v>7060.8744250749287</v>
      </c>
      <c r="D20" s="1">
        <v>58.840620208957738</v>
      </c>
      <c r="E20" s="1">
        <v>7119.715045283886</v>
      </c>
      <c r="F20" s="1">
        <v>1.4551915228366852E-11</v>
      </c>
    </row>
    <row r="21" spans="1:6" ht="18.75" customHeight="1">
      <c r="A21" s="1" t="str">
        <v>Total</v>
      </c>
      <c r="B21" s="1" t="str">
        <v/>
      </c>
      <c r="C21" s="1">
        <v>99999.999999999985</v>
      </c>
      <c r="D21" s="1">
        <v>6795.7256792582921</v>
      </c>
      <c r="E21" s="1">
        <v>106795.72567925826</v>
      </c>
      <c r="F21" s="1" t="str">
        <v/>
      </c>
    </row>
    <row r="22" spans="1:6" ht="18.75" customHeight="1">
      <c r="A22" s="1"/>
      <c r="B22" s="1"/>
      <c r="C22" s="1"/>
      <c r="D22" s="1"/>
      <c r="E22" s="1"/>
      <c r="F22" s="2"/>
    </row>
    <row r="23" spans="1:6" ht="18.75" customHeight="1">
      <c r="A23" s="1"/>
      <c r="B23" s="1"/>
      <c r="C23" s="1"/>
      <c r="D23" s="1"/>
      <c r="E23" s="1"/>
      <c r="F23" s="2"/>
    </row>
    <row r="24" spans="1:6">
      <c r="A24" s="1"/>
      <c r="B24" s="1"/>
      <c r="C24" s="1"/>
      <c r="D24" s="1"/>
      <c r="E24" s="1"/>
      <c r="F24" s="2"/>
    </row>
    <row r="25" spans="1:6">
      <c r="A25" s="1"/>
      <c r="B25" s="1"/>
      <c r="C25" s="1"/>
      <c r="D25" s="1"/>
      <c r="E25" s="1"/>
      <c r="F25" s="2"/>
    </row>
    <row r="26" spans="1:6">
      <c r="A26" s="1"/>
      <c r="B26" s="1"/>
      <c r="C26" s="1"/>
      <c r="D26" s="1"/>
      <c r="E26" s="1"/>
      <c r="F26" s="2"/>
    </row>
    <row r="27" spans="1:6">
      <c r="A27" s="1"/>
      <c r="B27" s="1"/>
      <c r="C27" s="1"/>
      <c r="D27" s="1"/>
      <c r="E27" s="1"/>
      <c r="F27" s="2"/>
    </row>
    <row r="28" spans="1:6">
      <c r="A28" s="1"/>
      <c r="B28" s="1"/>
      <c r="C28" s="1"/>
      <c r="D28" s="1"/>
      <c r="E28" s="1"/>
      <c r="F28" s="2"/>
    </row>
    <row r="29" spans="1:6">
      <c r="A29" s="1"/>
      <c r="B29" s="1"/>
      <c r="C29" s="1"/>
      <c r="D29" s="1"/>
      <c r="E29" s="1"/>
      <c r="F29" s="2"/>
    </row>
    <row r="30" spans="1:6">
      <c r="A30" s="1"/>
      <c r="B30" s="1"/>
      <c r="C30" s="1"/>
      <c r="D30" s="1"/>
      <c r="E30" s="1"/>
      <c r="F30" s="2"/>
    </row>
  </sheetData>
  <conditionalFormatting sqref="F6:F21 A2:E4 A1:D1 A6:E30">
    <cfRule type="expression" dxfId="1" priority="1">
      <formula>$A1="Total"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8DB91B19-C0E7-4E6B-86A2-D377622C1F04}">
            <xm:f>#REF!="Total"</xm:f>
            <x14:dxf>
              <font>
                <b/>
                <i val="0"/>
              </font>
              <border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A5:F5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Deepak Khanna</dc:creator>
  <cp:keywords/>
  <dc:description/>
  <cp:lastModifiedBy>Deepak Khanna</cp:lastModifiedBy>
  <cp:revision/>
  <dcterms:created xsi:type="dcterms:W3CDTF">2026-02-03T16:59:43Z</dcterms:created>
  <dcterms:modified xsi:type="dcterms:W3CDTF">2026-05-11T01:10:56Z</dcterms:modified>
  <cp:category/>
  <cp:contentStatus/>
</cp:coreProperties>
</file>